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80e6ce5c589eb/Desktop/Projeto 8 semestre/nexa-biomech/nexa-biomech-infraestrutura/01-Empresa/"/>
    </mc:Choice>
  </mc:AlternateContent>
  <xr:revisionPtr revIDLastSave="0" documentId="8_{B35C76DD-41F1-47A0-9769-61680835D1C2}" xr6:coauthVersionLast="47" xr6:coauthVersionMax="47" xr10:uidLastSave="{00000000-0000-0000-0000-000000000000}"/>
  <bookViews>
    <workbookView xWindow="-120" yWindow="-120" windowWidth="29040" windowHeight="17520" xr2:uid="{D01C2283-157A-4309-983C-467DE50E4C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6" i="1" l="1"/>
  <c r="D85" i="1"/>
  <c r="D75" i="1"/>
  <c r="D64" i="1"/>
  <c r="D53" i="1"/>
  <c r="D41" i="1"/>
  <c r="D29" i="1"/>
  <c r="D15" i="1"/>
</calcChain>
</file>

<file path=xl/sharedStrings.xml><?xml version="1.0" encoding="utf-8"?>
<sst xmlns="http://schemas.openxmlformats.org/spreadsheetml/2006/main" count="185" uniqueCount="118">
  <si>
    <t>Funcionário</t>
  </si>
  <si>
    <t>Cargo</t>
  </si>
  <si>
    <t>Setor</t>
  </si>
  <si>
    <t>Função principal</t>
  </si>
  <si>
    <t>Diretor Executivo</t>
  </si>
  <si>
    <t>Diretoria</t>
  </si>
  <si>
    <t>Estratégia e decisões gerais da empresa</t>
  </si>
  <si>
    <t>Diretor de Tecnologia e Pesquisa</t>
  </si>
  <si>
    <t>Direcionamento tecnológico e aprovação de projetos</t>
  </si>
  <si>
    <t>Coordenador Administrativo</t>
  </si>
  <si>
    <t>Administração/RH</t>
  </si>
  <si>
    <t>Coordenação administrativa e processos internos</t>
  </si>
  <si>
    <t>Analista de RH</t>
  </si>
  <si>
    <t>Recrutamento, documentação e acompanhamento dos funcionários</t>
  </si>
  <si>
    <t>Treinamentos, benefícios e controle de pessoal</t>
  </si>
  <si>
    <t>Assistente Administrativo</t>
  </si>
  <si>
    <t>Documentação, agendas e organização interna</t>
  </si>
  <si>
    <t>Atendimento interno e apoio administrativo</t>
  </si>
  <si>
    <t>Analista Financeiro</t>
  </si>
  <si>
    <t>Financeiro/Compras</t>
  </si>
  <si>
    <t>Controle financeiro e fluxo de caixa</t>
  </si>
  <si>
    <t>Contas, pagamentos e relatórios</t>
  </si>
  <si>
    <t>Analista de Compras</t>
  </si>
  <si>
    <t>Cotação e aquisição de materiais</t>
  </si>
  <si>
    <t>Analista de Suprimentos</t>
  </si>
  <si>
    <t>Controle de estoque e fornecedores</t>
  </si>
  <si>
    <t>Assistente de Compras</t>
  </si>
  <si>
    <t>Pedidos, registros e documentação de compras</t>
  </si>
  <si>
    <t>2º andar: Engenharia e Desenvolvimento</t>
  </si>
  <si>
    <t>Total de funcionários no andar: 24.</t>
  </si>
  <si>
    <t>Coordenador de Engenharia Mecânica</t>
  </si>
  <si>
    <t>Coordenação dos projetos mecânicos</t>
  </si>
  <si>
    <t>Engenheiro Mecânico</t>
  </si>
  <si>
    <t>Projeto estrutural das próteses</t>
  </si>
  <si>
    <t>Mecanismos e articulações</t>
  </si>
  <si>
    <t>Materiais e componentes</t>
  </si>
  <si>
    <t>Projetista CAD</t>
  </si>
  <si>
    <t>Modelagem 3D</t>
  </si>
  <si>
    <t>Modelagem e detalhamento técnico</t>
  </si>
  <si>
    <t>Especialista em Simulação</t>
  </si>
  <si>
    <t>Simulações mecânicas</t>
  </si>
  <si>
    <t>Técnico de Engenharia</t>
  </si>
  <si>
    <t>Documentação e apoio aos projetos</t>
  </si>
  <si>
    <t>Coordenador de Eletrônica</t>
  </si>
  <si>
    <t>Coordenação dos projetos eletrônicos</t>
  </si>
  <si>
    <t>Engenheiro Eletrônico</t>
  </si>
  <si>
    <t>Circuitos e sistemas de controle</t>
  </si>
  <si>
    <t>Sensores e aquisição de dados</t>
  </si>
  <si>
    <t>Engenheiro de Sistemas Embarcados</t>
  </si>
  <si>
    <t>Microcontroladores e firmware</t>
  </si>
  <si>
    <t>Controle de motores e atuadores</t>
  </si>
  <si>
    <t>Técnico em Eletrônica</t>
  </si>
  <si>
    <t>Montagem e manutenção de circuitos</t>
  </si>
  <si>
    <t>Testes e medições</t>
  </si>
  <si>
    <t>Integração de componentes</t>
  </si>
  <si>
    <t>Coordenador de Software</t>
  </si>
  <si>
    <t>Coordenação do desenvolvimento</t>
  </si>
  <si>
    <t>Desenvolvedor de Software</t>
  </si>
  <si>
    <t>Sistemas de controle</t>
  </si>
  <si>
    <t>Processamento de dados dos sensores</t>
  </si>
  <si>
    <t>Ferramentas internas de testes</t>
  </si>
  <si>
    <t>Sistemas de comunicação</t>
  </si>
  <si>
    <t>Interfaces e aplicações</t>
  </si>
  <si>
    <t>Desenvolvedor de Firmware</t>
  </si>
  <si>
    <t>Programação de microcontroladores</t>
  </si>
  <si>
    <t>Analista de Testes de Software</t>
  </si>
  <si>
    <t>Validação dos softwares</t>
  </si>
  <si>
    <t>3º andar: Pesquisa, Prototipagem e Testes</t>
  </si>
  <si>
    <t>Total de funcionários no andar: 18.</t>
  </si>
  <si>
    <t>Coordenador de P&amp;D</t>
  </si>
  <si>
    <t>Coordenação das pesquisas</t>
  </si>
  <si>
    <t>Pesquisador</t>
  </si>
  <si>
    <t>Pesquisa de novas tecnologias</t>
  </si>
  <si>
    <t>Pesquisa de materiais e componentes</t>
  </si>
  <si>
    <t>Pesquisa de sensores e controle</t>
  </si>
  <si>
    <t>Analista de P&amp;D</t>
  </si>
  <si>
    <t>Documentação e análise de resultados</t>
  </si>
  <si>
    <t>Coordenador de Prototipagem</t>
  </si>
  <si>
    <t>Coordenação do laboratório</t>
  </si>
  <si>
    <t>Técnico de Prototipagem</t>
  </si>
  <si>
    <t>Fabricação de protótipos</t>
  </si>
  <si>
    <t>Impressão 3D e acabamento</t>
  </si>
  <si>
    <t>Montagem mecânica</t>
  </si>
  <si>
    <t>Montagem eletrônica</t>
  </si>
  <si>
    <t>Integração dos componentes</t>
  </si>
  <si>
    <t>Manutenção e preparação dos equipamentos</t>
  </si>
  <si>
    <t>Coordenador de Testes</t>
  </si>
  <si>
    <t>Planejamento dos testes</t>
  </si>
  <si>
    <t>Engenheiro de Testes</t>
  </si>
  <si>
    <t>Testes mecânicos</t>
  </si>
  <si>
    <t>Testes eletrônicos</t>
  </si>
  <si>
    <t>Analista de Validação</t>
  </si>
  <si>
    <t>Análise dos resultados</t>
  </si>
  <si>
    <t>Técnico de Testes</t>
  </si>
  <si>
    <t>Execução dos testes</t>
  </si>
  <si>
    <t>Coleta de dados e documentação</t>
  </si>
  <si>
    <t>4º andar</t>
  </si>
  <si>
    <t>Coordenador de TI</t>
  </si>
  <si>
    <t>Gestão da infraestrutura tecnológica</t>
  </si>
  <si>
    <t>Analista de Infraestrutura</t>
  </si>
  <si>
    <t>Servidores e virtualização</t>
  </si>
  <si>
    <t>Analista de Redes</t>
  </si>
  <si>
    <t>Redes, switches, Wi-Fi e firewall</t>
  </si>
  <si>
    <t>Analista de Segurança da Informação</t>
  </si>
  <si>
    <t>Segurança, acessos e monitoramento</t>
  </si>
  <si>
    <t>Analista de Sistemas</t>
  </si>
  <si>
    <t>Sistemas internos e suporte</t>
  </si>
  <si>
    <t>Técnico de Suporte</t>
  </si>
  <si>
    <t>Atendimento aos usuários e manutenção</t>
  </si>
  <si>
    <t>Total</t>
  </si>
  <si>
    <t>1º andar: Administração e Gestão</t>
  </si>
  <si>
    <t>Engenharia Mecânica e Design</t>
  </si>
  <si>
    <t>Engenharia Eletrônica e Sistemas Embarcados</t>
  </si>
  <si>
    <t>Desenvolvimento de Software</t>
  </si>
  <si>
    <t>TI e Segurança</t>
  </si>
  <si>
    <t>Testes e Validação</t>
  </si>
  <si>
    <t>Laboratório de Prototipagem</t>
  </si>
  <si>
    <t>Pesquisa e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</si>
</sst>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0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ck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1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Normal" xfId="0" builtinId="0"/>
    <cellStyle name="Título 1" xfId="1" builtinId="16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Estilo personalizado 1" pivot="0" count="0" xr9:uid="{289BEFFD-5DD0-4B1E-B943-43A2ABB5F1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71FD8-1107-402D-8851-F4ACD8B7ED4A}" name="Tabela1" displayName="Tabela1" ref="A2:D15" totalsRowCount="1" headerRowDxfId="74" dataDxfId="91" headerRowBorderDxfId="89" tableBorderDxfId="90" totalsRowBorderDxfId="88" headerRowCellStyle="Título 1">
  <autoFilter ref="A2:D14" xr:uid="{38F71FD8-1107-402D-8851-F4ACD8B7ED4A}">
    <filterColumn colId="0" hiddenButton="1"/>
    <filterColumn colId="1" hiddenButton="1"/>
    <filterColumn colId="2" hiddenButton="1"/>
    <filterColumn colId="3" hiddenButton="1"/>
  </autoFilter>
  <tableColumns count="4">
    <tableColumn id="1" xr3:uid="{5945FC1E-6D6B-4A32-A7B9-1F8DDA156851}" name="Funcionário" totalsRowLabel="Total" dataDxfId="87" totalsRowDxfId="79"/>
    <tableColumn id="2" xr3:uid="{FF808248-B893-4056-9349-7D706CFE173E}" name="Cargo" dataDxfId="86" totalsRowDxfId="80"/>
    <tableColumn id="3" xr3:uid="{E8754CC5-34E0-48A5-9BDB-143158E69FDC}" name="Setor" dataDxfId="85" totalsRowDxfId="81"/>
    <tableColumn id="4" xr3:uid="{D0DE53F7-A343-4C5B-A9A8-76E6604BF3E9}" name="Função principal" totalsRowFunction="count" dataDxfId="84" totalsRowDxfId="8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54EBB-AAAF-4077-8078-857A2CD276D0}" name="Tabela2" displayName="Tabela2" ref="A20:D29" totalsRowCount="1" headerRowDxfId="58" dataDxfId="83" headerRowBorderDxfId="64" tableBorderDxfId="65" totalsRowBorderDxfId="63">
  <autoFilter ref="A20:D28" xr:uid="{D1C54EBB-AAAF-4077-8078-857A2CD276D0}">
    <filterColumn colId="0" hiddenButton="1"/>
    <filterColumn colId="1" hiddenButton="1"/>
    <filterColumn colId="2" hiddenButton="1"/>
    <filterColumn colId="3" hiddenButton="1"/>
  </autoFilter>
  <tableColumns count="4">
    <tableColumn id="1" xr3:uid="{1F6DBBEF-1BB2-40D7-82D0-A6443FA605B0}" name="Funcionário" totalsRowLabel="Total" dataDxfId="62" totalsRowDxfId="27"/>
    <tableColumn id="2" xr3:uid="{D98E9F89-C463-4F8B-9240-A3AADE976D0D}" name="Cargo" dataDxfId="61" totalsRowDxfId="26"/>
    <tableColumn id="3" xr3:uid="{9B5721EA-E0A4-4F10-B0AC-9D6749687570}" name="Setor" dataDxfId="60" totalsRowDxfId="25"/>
    <tableColumn id="4" xr3:uid="{E8D372E6-389D-4AB7-AF9A-02C4520C5EFC}" name="Função principal" totalsRowFunction="count" dataDxfId="59" totalsRow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D0C78E-DF45-4464-8937-490DB86D2CEC}" name="Tabela3" displayName="Tabela3" ref="A32:D41" totalsRowCount="1" headerRowDxfId="77" dataDxfId="78" tableBorderDxfId="57">
  <autoFilter ref="A32:D40" xr:uid="{92D0C78E-DF45-4464-8937-490DB86D2CEC}">
    <filterColumn colId="0" hiddenButton="1"/>
    <filterColumn colId="1" hiddenButton="1"/>
    <filterColumn colId="2" hiddenButton="1"/>
    <filterColumn colId="3" hiddenButton="1"/>
  </autoFilter>
  <tableColumns count="4">
    <tableColumn id="1" xr3:uid="{2A40093D-208F-44AA-B63F-24B36803028F}" name="Funcionário" totalsRowLabel="Total" dataDxfId="56" totalsRowDxfId="23"/>
    <tableColumn id="2" xr3:uid="{56D472AF-4865-425F-983B-7F4DBCF0F20A}" name="Cargo" dataDxfId="55" totalsRowDxfId="22"/>
    <tableColumn id="3" xr3:uid="{312E3583-4721-4DDA-B5BA-B91CFF966767}" name="Setor" dataDxfId="54" totalsRowDxfId="21"/>
    <tableColumn id="4" xr3:uid="{CDD065FD-E285-4EEC-82C2-2D77D930E744}" name="Função principal" totalsRowFunction="count" dataDxfId="53" totalsRow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41CB95-EE58-4921-A342-FDA54427BDE8}" name="Tabela4" displayName="Tabela4" ref="A44:D53" totalsRowCount="1" headerRowDxfId="75" dataDxfId="76" tableBorderDxfId="52">
  <autoFilter ref="A44:D52" xr:uid="{9341CB95-EE58-4921-A342-FDA54427BDE8}">
    <filterColumn colId="0" hiddenButton="1"/>
    <filterColumn colId="1" hiddenButton="1"/>
    <filterColumn colId="2" hiddenButton="1"/>
    <filterColumn colId="3" hiddenButton="1"/>
  </autoFilter>
  <tableColumns count="4">
    <tableColumn id="1" xr3:uid="{5FBA7DBF-94A6-4345-9C85-A206374F87DF}" name="Funcionário" totalsRowLabel="Total" dataDxfId="51" totalsRowDxfId="19"/>
    <tableColumn id="2" xr3:uid="{C486082D-8733-49DA-B5CC-D4F3A76D1CA5}" name="Cargo" dataDxfId="50" totalsRowDxfId="18"/>
    <tableColumn id="3" xr3:uid="{9F8722D7-CE87-4012-9507-C74A1887BE70}" name="Setor" dataDxfId="49" totalsRowDxfId="17"/>
    <tableColumn id="4" xr3:uid="{23BEB274-7CF3-42A4-B010-CF106F3FCBF2}" name="Função principal" totalsRowFunction="count" dataDxfId="48" totalsRow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4B5C48-BC1F-4068-A52D-AD9AF38F20D8}" name="Tabela5" displayName="Tabela5" ref="A58:D64" totalsRowCount="1" headerRowDxfId="72" dataDxfId="73" tableBorderDxfId="47">
  <autoFilter ref="A58:D63" xr:uid="{764B5C48-BC1F-4068-A52D-AD9AF38F20D8}">
    <filterColumn colId="0" hiddenButton="1"/>
    <filterColumn colId="1" hiddenButton="1"/>
    <filterColumn colId="2" hiddenButton="1"/>
    <filterColumn colId="3" hiddenButton="1"/>
  </autoFilter>
  <tableColumns count="4">
    <tableColumn id="1" xr3:uid="{631EE4DE-03B8-492D-90C6-E1D50FC3E1B6}" name="Funcionário" totalsRowLabel="Total" dataDxfId="46" totalsRowDxfId="15"/>
    <tableColumn id="2" xr3:uid="{CB26FD50-E2FE-4BA1-8C79-105187438EC0}" name="Cargo" dataDxfId="45" totalsRowDxfId="14"/>
    <tableColumn id="3" xr3:uid="{A52B5E4A-A2B4-4746-B733-FB9A921BD44C}" name="Setor" dataDxfId="44" totalsRowDxfId="13"/>
    <tableColumn id="4" xr3:uid="{DC8A9F00-493C-4702-BF4C-D1286708B323}" name="Função principal" totalsRowFunction="count" dataDxfId="43" totalsRowDxfId="12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9CDFB5-EF3E-41D0-AA6F-73880DEDDBA7}" name="Tabela6" displayName="Tabela6" ref="A67:D75" totalsRowCount="1" headerRowDxfId="70" dataDxfId="71" tableBorderDxfId="42">
  <autoFilter ref="A67:D74" xr:uid="{6F9CDFB5-EF3E-41D0-AA6F-73880DEDDBA7}">
    <filterColumn colId="0" hiddenButton="1"/>
    <filterColumn colId="1" hiddenButton="1"/>
    <filterColumn colId="2" hiddenButton="1"/>
    <filterColumn colId="3" hiddenButton="1"/>
  </autoFilter>
  <tableColumns count="4">
    <tableColumn id="1" xr3:uid="{D4DD76C7-1FFB-4C54-A847-B441799C717C}" name="Funcionário" totalsRowLabel="Total" dataDxfId="41" totalsRowDxfId="11"/>
    <tableColumn id="2" xr3:uid="{3030E62A-3B54-4D7D-ABC7-490D1D5D8980}" name="Cargo" dataDxfId="40" totalsRowDxfId="10"/>
    <tableColumn id="3" xr3:uid="{D50298D7-9459-4E71-892E-3E740038A4D9}" name="Setor" dataDxfId="39" totalsRowDxfId="9"/>
    <tableColumn id="4" xr3:uid="{4955550F-08FD-435F-B66F-B1E79DBDAB0C}" name="Função principal" totalsRowFunction="count" dataDxfId="38" totalsRowDxfId="8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CB369C-6951-431D-984A-A63638C2D855}" name="Tabela7" displayName="Tabela7" ref="A78:D85" totalsRowCount="1" headerRowDxfId="68" dataDxfId="69" tableBorderDxfId="37">
  <autoFilter ref="A78:D84" xr:uid="{B4CB369C-6951-431D-984A-A63638C2D855}">
    <filterColumn colId="0" hiddenButton="1"/>
    <filterColumn colId="1" hiddenButton="1"/>
    <filterColumn colId="2" hiddenButton="1"/>
    <filterColumn colId="3" hiddenButton="1"/>
  </autoFilter>
  <tableColumns count="4">
    <tableColumn id="1" xr3:uid="{865A91B0-CF93-4A54-AEB0-B324F1761198}" name="Funcionário" totalsRowLabel="Total" dataDxfId="36" totalsRowDxfId="7"/>
    <tableColumn id="2" xr3:uid="{DE753A71-A66D-4AD4-AA0F-A9E3B119C314}" name="Cargo" dataDxfId="35" totalsRowDxfId="6"/>
    <tableColumn id="3" xr3:uid="{7E42E57D-E853-40F9-A686-2246E2D36D2C}" name="Setor" dataDxfId="34" totalsRowDxfId="5"/>
    <tableColumn id="4" xr3:uid="{D051943A-9C97-4A47-B260-50FD70427527}" name="Função principal" totalsRowFunction="count" dataDxfId="33" totalsRowDxfId="4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589690-099E-4CF4-A05E-CBEF15D19374}" name="Tabela8" displayName="Tabela8" ref="A89:D96" totalsRowCount="1" headerRowDxfId="66" dataDxfId="67" tableBorderDxfId="32">
  <autoFilter ref="A89:D95" xr:uid="{C8589690-099E-4CF4-A05E-CBEF15D19374}">
    <filterColumn colId="0" hiddenButton="1"/>
    <filterColumn colId="1" hiddenButton="1"/>
    <filterColumn colId="2" hiddenButton="1"/>
    <filterColumn colId="3" hiddenButton="1"/>
  </autoFilter>
  <tableColumns count="4">
    <tableColumn id="1" xr3:uid="{330DB889-30AE-4778-BD49-27C6E3841218}" name="Funcionário" totalsRowLabel="Total" dataDxfId="31" totalsRowDxfId="3"/>
    <tableColumn id="2" xr3:uid="{C4B05AF1-4812-4CA4-8855-2C8680599D40}" name="Cargo" dataDxfId="30" totalsRowDxfId="2"/>
    <tableColumn id="3" xr3:uid="{0A533C1D-7FF8-48D7-96F8-FC59399105ED}" name="Setor" dataDxfId="29" totalsRowDxfId="1"/>
    <tableColumn id="4" xr3:uid="{3D17DDA7-B1C0-4F42-8B64-6379D6DDBF9F}" name="Função principal" totalsRowFunction="count" dataDxfId="28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930F-5F23-4489-9E82-38B7FC0D65DE}">
  <dimension ref="A1:D97"/>
  <sheetViews>
    <sheetView tabSelected="1" workbookViewId="0">
      <selection activeCell="H22" sqref="H22"/>
    </sheetView>
  </sheetViews>
  <sheetFormatPr defaultRowHeight="15" x14ac:dyDescent="0.25"/>
  <cols>
    <col min="1" max="1" width="19.28515625" customWidth="1"/>
    <col min="2" max="2" width="37" customWidth="1"/>
    <col min="3" max="3" width="25.85546875" customWidth="1"/>
    <col min="4" max="4" width="56" customWidth="1"/>
  </cols>
  <sheetData>
    <row r="1" spans="1:4" ht="21.75" thickBot="1" x14ac:dyDescent="0.3">
      <c r="A1" s="15" t="s">
        <v>110</v>
      </c>
      <c r="B1" s="15"/>
      <c r="C1" s="15"/>
      <c r="D1" s="15"/>
    </row>
    <row r="2" spans="1:4" ht="20.25" thickTop="1" x14ac:dyDescent="0.25">
      <c r="A2" s="9" t="s">
        <v>0</v>
      </c>
      <c r="B2" s="10" t="s">
        <v>1</v>
      </c>
      <c r="C2" s="10" t="s">
        <v>2</v>
      </c>
      <c r="D2" s="11" t="s">
        <v>3</v>
      </c>
    </row>
    <row r="3" spans="1:4" x14ac:dyDescent="0.25">
      <c r="A3" s="4">
        <v>1</v>
      </c>
      <c r="B3" s="3" t="s">
        <v>4</v>
      </c>
      <c r="C3" s="3" t="s">
        <v>5</v>
      </c>
      <c r="D3" s="5" t="s">
        <v>6</v>
      </c>
    </row>
    <row r="4" spans="1:4" ht="30" customHeight="1" x14ac:dyDescent="0.25">
      <c r="A4" s="4">
        <v>2</v>
      </c>
      <c r="B4" s="3" t="s">
        <v>7</v>
      </c>
      <c r="C4" s="3" t="s">
        <v>5</v>
      </c>
      <c r="D4" s="5" t="s">
        <v>8</v>
      </c>
    </row>
    <row r="5" spans="1:4" x14ac:dyDescent="0.25">
      <c r="A5" s="4">
        <v>3</v>
      </c>
      <c r="B5" s="3" t="s">
        <v>9</v>
      </c>
      <c r="C5" s="3" t="s">
        <v>10</v>
      </c>
      <c r="D5" s="5" t="s">
        <v>11</v>
      </c>
    </row>
    <row r="6" spans="1:4" ht="30" x14ac:dyDescent="0.25">
      <c r="A6" s="4">
        <v>4</v>
      </c>
      <c r="B6" s="3" t="s">
        <v>12</v>
      </c>
      <c r="C6" s="3" t="s">
        <v>10</v>
      </c>
      <c r="D6" s="5" t="s">
        <v>13</v>
      </c>
    </row>
    <row r="7" spans="1:4" x14ac:dyDescent="0.25">
      <c r="A7" s="4">
        <v>5</v>
      </c>
      <c r="B7" s="3" t="s">
        <v>12</v>
      </c>
      <c r="C7" s="3" t="s">
        <v>10</v>
      </c>
      <c r="D7" s="5" t="s">
        <v>14</v>
      </c>
    </row>
    <row r="8" spans="1:4" ht="30" customHeight="1" x14ac:dyDescent="0.25">
      <c r="A8" s="4">
        <v>6</v>
      </c>
      <c r="B8" s="3" t="s">
        <v>15</v>
      </c>
      <c r="C8" s="3" t="s">
        <v>10</v>
      </c>
      <c r="D8" s="5" t="s">
        <v>16</v>
      </c>
    </row>
    <row r="9" spans="1:4" x14ac:dyDescent="0.25">
      <c r="A9" s="4">
        <v>7</v>
      </c>
      <c r="B9" s="3" t="s">
        <v>15</v>
      </c>
      <c r="C9" s="3" t="s">
        <v>10</v>
      </c>
      <c r="D9" s="5" t="s">
        <v>17</v>
      </c>
    </row>
    <row r="10" spans="1:4" x14ac:dyDescent="0.25">
      <c r="A10" s="4">
        <v>8</v>
      </c>
      <c r="B10" s="3" t="s">
        <v>18</v>
      </c>
      <c r="C10" s="3" t="s">
        <v>19</v>
      </c>
      <c r="D10" s="5" t="s">
        <v>20</v>
      </c>
    </row>
    <row r="11" spans="1:4" x14ac:dyDescent="0.25">
      <c r="A11" s="4">
        <v>9</v>
      </c>
      <c r="B11" s="3" t="s">
        <v>18</v>
      </c>
      <c r="C11" s="3" t="s">
        <v>19</v>
      </c>
      <c r="D11" s="5" t="s">
        <v>21</v>
      </c>
    </row>
    <row r="12" spans="1:4" x14ac:dyDescent="0.25">
      <c r="A12" s="4">
        <v>10</v>
      </c>
      <c r="B12" s="3" t="s">
        <v>22</v>
      </c>
      <c r="C12" s="3" t="s">
        <v>19</v>
      </c>
      <c r="D12" s="5" t="s">
        <v>23</v>
      </c>
    </row>
    <row r="13" spans="1:4" x14ac:dyDescent="0.25">
      <c r="A13" s="4">
        <v>11</v>
      </c>
      <c r="B13" s="3" t="s">
        <v>24</v>
      </c>
      <c r="C13" s="3" t="s">
        <v>19</v>
      </c>
      <c r="D13" s="5" t="s">
        <v>25</v>
      </c>
    </row>
    <row r="14" spans="1:4" x14ac:dyDescent="0.25">
      <c r="A14" s="6">
        <v>12</v>
      </c>
      <c r="B14" s="7" t="s">
        <v>26</v>
      </c>
      <c r="C14" s="7" t="s">
        <v>19</v>
      </c>
      <c r="D14" s="8" t="s">
        <v>27</v>
      </c>
    </row>
    <row r="15" spans="1:4" ht="15.75" x14ac:dyDescent="0.25">
      <c r="A15" s="6" t="s">
        <v>109</v>
      </c>
      <c r="B15" s="7"/>
      <c r="C15" s="7"/>
      <c r="D15" s="8">
        <f>SUBTOTAL(103,Tabela1[Função principal])</f>
        <v>12</v>
      </c>
    </row>
    <row r="16" spans="1:4" ht="15.75" x14ac:dyDescent="0.25">
      <c r="A16" s="1"/>
    </row>
    <row r="17" spans="1:4" ht="21.75" thickBot="1" x14ac:dyDescent="0.3">
      <c r="A17" s="15" t="s">
        <v>28</v>
      </c>
      <c r="B17" s="15"/>
      <c r="C17" s="15"/>
      <c r="D17" s="15"/>
    </row>
    <row r="18" spans="1:4" ht="15.75" thickTop="1" x14ac:dyDescent="0.25">
      <c r="A18" s="2" t="s">
        <v>29</v>
      </c>
    </row>
    <row r="19" spans="1:4" ht="15.75" x14ac:dyDescent="0.25">
      <c r="A19" s="18" t="s">
        <v>111</v>
      </c>
      <c r="B19" s="18"/>
      <c r="C19" s="18"/>
      <c r="D19" s="18"/>
    </row>
    <row r="20" spans="1:4" ht="15.75" x14ac:dyDescent="0.25">
      <c r="A20" s="12" t="s">
        <v>0</v>
      </c>
      <c r="B20" s="13" t="s">
        <v>1</v>
      </c>
      <c r="C20" s="13" t="s">
        <v>2</v>
      </c>
      <c r="D20" s="14" t="s">
        <v>3</v>
      </c>
    </row>
    <row r="21" spans="1:4" ht="30" x14ac:dyDescent="0.25">
      <c r="A21" s="4">
        <v>13</v>
      </c>
      <c r="B21" s="3" t="s">
        <v>30</v>
      </c>
      <c r="C21" s="3"/>
      <c r="D21" s="5" t="s">
        <v>31</v>
      </c>
    </row>
    <row r="22" spans="1:4" x14ac:dyDescent="0.25">
      <c r="A22" s="4">
        <v>14</v>
      </c>
      <c r="B22" s="3" t="s">
        <v>32</v>
      </c>
      <c r="C22" s="3"/>
      <c r="D22" s="5" t="s">
        <v>33</v>
      </c>
    </row>
    <row r="23" spans="1:4" x14ac:dyDescent="0.25">
      <c r="A23" s="4">
        <v>15</v>
      </c>
      <c r="B23" s="3" t="s">
        <v>32</v>
      </c>
      <c r="C23" s="3"/>
      <c r="D23" s="5" t="s">
        <v>34</v>
      </c>
    </row>
    <row r="24" spans="1:4" x14ac:dyDescent="0.25">
      <c r="A24" s="4">
        <v>16</v>
      </c>
      <c r="B24" s="3" t="s">
        <v>32</v>
      </c>
      <c r="C24" s="3"/>
      <c r="D24" s="5" t="s">
        <v>35</v>
      </c>
    </row>
    <row r="25" spans="1:4" x14ac:dyDescent="0.25">
      <c r="A25" s="4">
        <v>17</v>
      </c>
      <c r="B25" s="3" t="s">
        <v>36</v>
      </c>
      <c r="C25" s="3"/>
      <c r="D25" s="5" t="s">
        <v>37</v>
      </c>
    </row>
    <row r="26" spans="1:4" x14ac:dyDescent="0.25">
      <c r="A26" s="4">
        <v>18</v>
      </c>
      <c r="B26" s="3" t="s">
        <v>36</v>
      </c>
      <c r="C26" s="3"/>
      <c r="D26" s="5" t="s">
        <v>38</v>
      </c>
    </row>
    <row r="27" spans="1:4" x14ac:dyDescent="0.25">
      <c r="A27" s="4">
        <v>19</v>
      </c>
      <c r="B27" s="3" t="s">
        <v>39</v>
      </c>
      <c r="C27" s="3"/>
      <c r="D27" s="5" t="s">
        <v>40</v>
      </c>
    </row>
    <row r="28" spans="1:4" x14ac:dyDescent="0.25">
      <c r="A28" s="6">
        <v>20</v>
      </c>
      <c r="B28" s="7" t="s">
        <v>41</v>
      </c>
      <c r="C28" s="7"/>
      <c r="D28" s="8" t="s">
        <v>42</v>
      </c>
    </row>
    <row r="29" spans="1:4" ht="15.75" x14ac:dyDescent="0.25">
      <c r="A29" s="6" t="s">
        <v>109</v>
      </c>
      <c r="B29" s="7"/>
      <c r="C29" s="7"/>
      <c r="D29" s="8">
        <f>SUBTOTAL(103,Tabela2[Função principal])</f>
        <v>8</v>
      </c>
    </row>
    <row r="30" spans="1:4" ht="15.75" x14ac:dyDescent="0.25">
      <c r="A30" s="1"/>
    </row>
    <row r="31" spans="1:4" ht="15.75" x14ac:dyDescent="0.25">
      <c r="A31" s="18" t="s">
        <v>112</v>
      </c>
      <c r="B31" s="18"/>
      <c r="C31" s="18"/>
      <c r="D31" s="18"/>
    </row>
    <row r="32" spans="1:4" ht="15.75" x14ac:dyDescent="0.25">
      <c r="A32" s="12" t="s">
        <v>0</v>
      </c>
      <c r="B32" s="13" t="s">
        <v>1</v>
      </c>
      <c r="C32" s="13" t="s">
        <v>2</v>
      </c>
      <c r="D32" s="14" t="s">
        <v>3</v>
      </c>
    </row>
    <row r="33" spans="1:4" x14ac:dyDescent="0.25">
      <c r="A33" s="4">
        <v>21</v>
      </c>
      <c r="B33" s="3" t="s">
        <v>43</v>
      </c>
      <c r="C33" s="3"/>
      <c r="D33" s="5" t="s">
        <v>44</v>
      </c>
    </row>
    <row r="34" spans="1:4" x14ac:dyDescent="0.25">
      <c r="A34" s="4">
        <v>22</v>
      </c>
      <c r="B34" s="3" t="s">
        <v>45</v>
      </c>
      <c r="C34" s="3"/>
      <c r="D34" s="5" t="s">
        <v>46</v>
      </c>
    </row>
    <row r="35" spans="1:4" x14ac:dyDescent="0.25">
      <c r="A35" s="4">
        <v>23</v>
      </c>
      <c r="B35" s="3" t="s">
        <v>45</v>
      </c>
      <c r="C35" s="3"/>
      <c r="D35" s="5" t="s">
        <v>47</v>
      </c>
    </row>
    <row r="36" spans="1:4" ht="30" x14ac:dyDescent="0.25">
      <c r="A36" s="4">
        <v>24</v>
      </c>
      <c r="B36" s="3" t="s">
        <v>48</v>
      </c>
      <c r="C36" s="3"/>
      <c r="D36" s="5" t="s">
        <v>49</v>
      </c>
    </row>
    <row r="37" spans="1:4" ht="30" x14ac:dyDescent="0.25">
      <c r="A37" s="4">
        <v>25</v>
      </c>
      <c r="B37" s="3" t="s">
        <v>48</v>
      </c>
      <c r="C37" s="3"/>
      <c r="D37" s="5" t="s">
        <v>50</v>
      </c>
    </row>
    <row r="38" spans="1:4" x14ac:dyDescent="0.25">
      <c r="A38" s="4">
        <v>26</v>
      </c>
      <c r="B38" s="3" t="s">
        <v>51</v>
      </c>
      <c r="C38" s="3"/>
      <c r="D38" s="5" t="s">
        <v>52</v>
      </c>
    </row>
    <row r="39" spans="1:4" x14ac:dyDescent="0.25">
      <c r="A39" s="4">
        <v>27</v>
      </c>
      <c r="B39" s="3" t="s">
        <v>51</v>
      </c>
      <c r="C39" s="3"/>
      <c r="D39" s="5" t="s">
        <v>53</v>
      </c>
    </row>
    <row r="40" spans="1:4" x14ac:dyDescent="0.25">
      <c r="A40" s="6">
        <v>28</v>
      </c>
      <c r="B40" s="7" t="s">
        <v>51</v>
      </c>
      <c r="C40" s="7"/>
      <c r="D40" s="8" t="s">
        <v>54</v>
      </c>
    </row>
    <row r="41" spans="1:4" ht="15.75" x14ac:dyDescent="0.25">
      <c r="A41" s="16" t="s">
        <v>109</v>
      </c>
      <c r="B41" s="17"/>
      <c r="C41" s="17"/>
      <c r="D41" s="17">
        <f>SUBTOTAL(103,Tabela3[Função principal])</f>
        <v>8</v>
      </c>
    </row>
    <row r="42" spans="1:4" ht="15.75" x14ac:dyDescent="0.25">
      <c r="A42" s="1"/>
    </row>
    <row r="43" spans="1:4" ht="15.75" x14ac:dyDescent="0.25">
      <c r="A43" s="18" t="s">
        <v>113</v>
      </c>
      <c r="B43" s="18"/>
      <c r="C43" s="18"/>
      <c r="D43" s="18"/>
    </row>
    <row r="44" spans="1:4" ht="15.75" x14ac:dyDescent="0.25">
      <c r="A44" s="12" t="s">
        <v>0</v>
      </c>
      <c r="B44" s="13" t="s">
        <v>1</v>
      </c>
      <c r="C44" s="13" t="s">
        <v>2</v>
      </c>
      <c r="D44" s="14" t="s">
        <v>3</v>
      </c>
    </row>
    <row r="45" spans="1:4" x14ac:dyDescent="0.25">
      <c r="A45" s="4">
        <v>29</v>
      </c>
      <c r="B45" s="3" t="s">
        <v>55</v>
      </c>
      <c r="C45" s="3"/>
      <c r="D45" s="5" t="s">
        <v>56</v>
      </c>
    </row>
    <row r="46" spans="1:4" x14ac:dyDescent="0.25">
      <c r="A46" s="4">
        <v>30</v>
      </c>
      <c r="B46" s="3" t="s">
        <v>57</v>
      </c>
      <c r="C46" s="3"/>
      <c r="D46" s="5" t="s">
        <v>58</v>
      </c>
    </row>
    <row r="47" spans="1:4" x14ac:dyDescent="0.25">
      <c r="A47" s="4">
        <v>31</v>
      </c>
      <c r="B47" s="3" t="s">
        <v>57</v>
      </c>
      <c r="C47" s="3"/>
      <c r="D47" s="5" t="s">
        <v>59</v>
      </c>
    </row>
    <row r="48" spans="1:4" x14ac:dyDescent="0.25">
      <c r="A48" s="4">
        <v>32</v>
      </c>
      <c r="B48" s="3" t="s">
        <v>57</v>
      </c>
      <c r="C48" s="3"/>
      <c r="D48" s="5" t="s">
        <v>60</v>
      </c>
    </row>
    <row r="49" spans="1:4" x14ac:dyDescent="0.25">
      <c r="A49" s="4">
        <v>33</v>
      </c>
      <c r="B49" s="3" t="s">
        <v>57</v>
      </c>
      <c r="C49" s="3"/>
      <c r="D49" s="5" t="s">
        <v>61</v>
      </c>
    </row>
    <row r="50" spans="1:4" x14ac:dyDescent="0.25">
      <c r="A50" s="4">
        <v>34</v>
      </c>
      <c r="B50" s="3" t="s">
        <v>57</v>
      </c>
      <c r="C50" s="3"/>
      <c r="D50" s="5" t="s">
        <v>62</v>
      </c>
    </row>
    <row r="51" spans="1:4" x14ac:dyDescent="0.25">
      <c r="A51" s="4">
        <v>35</v>
      </c>
      <c r="B51" s="3" t="s">
        <v>63</v>
      </c>
      <c r="C51" s="3"/>
      <c r="D51" s="5" t="s">
        <v>64</v>
      </c>
    </row>
    <row r="52" spans="1:4" x14ac:dyDescent="0.25">
      <c r="A52" s="6">
        <v>36</v>
      </c>
      <c r="B52" s="7" t="s">
        <v>65</v>
      </c>
      <c r="C52" s="7"/>
      <c r="D52" s="8" t="s">
        <v>66</v>
      </c>
    </row>
    <row r="53" spans="1:4" ht="15.75" x14ac:dyDescent="0.25">
      <c r="A53" s="16" t="s">
        <v>109</v>
      </c>
      <c r="B53" s="17"/>
      <c r="C53" s="17"/>
      <c r="D53" s="17">
        <f>SUBTOTAL(103,Tabela4[Função principal])</f>
        <v>8</v>
      </c>
    </row>
    <row r="54" spans="1:4" ht="15.75" x14ac:dyDescent="0.25">
      <c r="A54" s="1"/>
    </row>
    <row r="55" spans="1:4" ht="21.75" thickBot="1" x14ac:dyDescent="0.3">
      <c r="A55" s="15" t="s">
        <v>67</v>
      </c>
      <c r="B55" s="15"/>
      <c r="C55" s="15"/>
      <c r="D55" s="15"/>
    </row>
    <row r="56" spans="1:4" ht="15.75" thickTop="1" x14ac:dyDescent="0.25">
      <c r="A56" s="2" t="s">
        <v>68</v>
      </c>
    </row>
    <row r="57" spans="1:4" ht="15.75" x14ac:dyDescent="0.25">
      <c r="A57" s="18" t="s">
        <v>117</v>
      </c>
      <c r="B57" s="18"/>
      <c r="C57" s="18"/>
      <c r="D57" s="18"/>
    </row>
    <row r="58" spans="1:4" ht="15.75" x14ac:dyDescent="0.25">
      <c r="A58" s="12" t="s">
        <v>0</v>
      </c>
      <c r="B58" s="13" t="s">
        <v>1</v>
      </c>
      <c r="C58" s="13" t="s">
        <v>2</v>
      </c>
      <c r="D58" s="14" t="s">
        <v>3</v>
      </c>
    </row>
    <row r="59" spans="1:4" x14ac:dyDescent="0.25">
      <c r="A59" s="4">
        <v>37</v>
      </c>
      <c r="B59" s="3" t="s">
        <v>69</v>
      </c>
      <c r="C59" s="3"/>
      <c r="D59" s="5" t="s">
        <v>70</v>
      </c>
    </row>
    <row r="60" spans="1:4" x14ac:dyDescent="0.25">
      <c r="A60" s="4">
        <v>38</v>
      </c>
      <c r="B60" s="3" t="s">
        <v>71</v>
      </c>
      <c r="C60" s="3"/>
      <c r="D60" s="5" t="s">
        <v>72</v>
      </c>
    </row>
    <row r="61" spans="1:4" x14ac:dyDescent="0.25">
      <c r="A61" s="4">
        <v>39</v>
      </c>
      <c r="B61" s="3" t="s">
        <v>71</v>
      </c>
      <c r="C61" s="3"/>
      <c r="D61" s="5" t="s">
        <v>73</v>
      </c>
    </row>
    <row r="62" spans="1:4" x14ac:dyDescent="0.25">
      <c r="A62" s="4">
        <v>40</v>
      </c>
      <c r="B62" s="3" t="s">
        <v>71</v>
      </c>
      <c r="C62" s="3"/>
      <c r="D62" s="5" t="s">
        <v>74</v>
      </c>
    </row>
    <row r="63" spans="1:4" x14ac:dyDescent="0.25">
      <c r="A63" s="6">
        <v>41</v>
      </c>
      <c r="B63" s="7" t="s">
        <v>75</v>
      </c>
      <c r="C63" s="7"/>
      <c r="D63" s="8" t="s">
        <v>76</v>
      </c>
    </row>
    <row r="64" spans="1:4" ht="15.75" x14ac:dyDescent="0.25">
      <c r="A64" s="16" t="s">
        <v>109</v>
      </c>
      <c r="B64" s="17"/>
      <c r="C64" s="17"/>
      <c r="D64" s="17">
        <f>SUBTOTAL(103,Tabela5[Função principal])</f>
        <v>5</v>
      </c>
    </row>
    <row r="65" spans="1:4" ht="15.75" x14ac:dyDescent="0.25">
      <c r="A65" s="1"/>
    </row>
    <row r="66" spans="1:4" ht="15.75" x14ac:dyDescent="0.25">
      <c r="A66" s="18" t="s">
        <v>116</v>
      </c>
      <c r="B66" s="18"/>
      <c r="C66" s="18"/>
      <c r="D66" s="18"/>
    </row>
    <row r="67" spans="1:4" ht="15.75" x14ac:dyDescent="0.25">
      <c r="A67" s="12" t="s">
        <v>0</v>
      </c>
      <c r="B67" s="13" t="s">
        <v>1</v>
      </c>
      <c r="C67" s="13" t="s">
        <v>2</v>
      </c>
      <c r="D67" s="14" t="s">
        <v>3</v>
      </c>
    </row>
    <row r="68" spans="1:4" x14ac:dyDescent="0.25">
      <c r="A68" s="4">
        <v>42</v>
      </c>
      <c r="B68" s="3" t="s">
        <v>77</v>
      </c>
      <c r="C68" s="3"/>
      <c r="D68" s="5" t="s">
        <v>78</v>
      </c>
    </row>
    <row r="69" spans="1:4" x14ac:dyDescent="0.25">
      <c r="A69" s="4">
        <v>43</v>
      </c>
      <c r="B69" s="3" t="s">
        <v>79</v>
      </c>
      <c r="C69" s="3"/>
      <c r="D69" s="5" t="s">
        <v>80</v>
      </c>
    </row>
    <row r="70" spans="1:4" x14ac:dyDescent="0.25">
      <c r="A70" s="4">
        <v>44</v>
      </c>
      <c r="B70" s="3" t="s">
        <v>79</v>
      </c>
      <c r="C70" s="3"/>
      <c r="D70" s="5" t="s">
        <v>81</v>
      </c>
    </row>
    <row r="71" spans="1:4" x14ac:dyDescent="0.25">
      <c r="A71" s="4">
        <v>45</v>
      </c>
      <c r="B71" s="3" t="s">
        <v>79</v>
      </c>
      <c r="C71" s="3"/>
      <c r="D71" s="5" t="s">
        <v>82</v>
      </c>
    </row>
    <row r="72" spans="1:4" x14ac:dyDescent="0.25">
      <c r="A72" s="4">
        <v>46</v>
      </c>
      <c r="B72" s="3" t="s">
        <v>79</v>
      </c>
      <c r="C72" s="3"/>
      <c r="D72" s="5" t="s">
        <v>83</v>
      </c>
    </row>
    <row r="73" spans="1:4" x14ac:dyDescent="0.25">
      <c r="A73" s="4">
        <v>47</v>
      </c>
      <c r="B73" s="3" t="s">
        <v>79</v>
      </c>
      <c r="C73" s="3"/>
      <c r="D73" s="5" t="s">
        <v>84</v>
      </c>
    </row>
    <row r="74" spans="1:4" x14ac:dyDescent="0.25">
      <c r="A74" s="6">
        <v>48</v>
      </c>
      <c r="B74" s="7" t="s">
        <v>79</v>
      </c>
      <c r="C74" s="7"/>
      <c r="D74" s="8" t="s">
        <v>85</v>
      </c>
    </row>
    <row r="75" spans="1:4" ht="15.75" x14ac:dyDescent="0.25">
      <c r="A75" s="16" t="s">
        <v>109</v>
      </c>
      <c r="B75" s="17"/>
      <c r="C75" s="17"/>
      <c r="D75" s="17">
        <f>SUBTOTAL(103,Tabela6[Função principal])</f>
        <v>7</v>
      </c>
    </row>
    <row r="76" spans="1:4" ht="15.75" x14ac:dyDescent="0.25">
      <c r="A76" s="1"/>
    </row>
    <row r="77" spans="1:4" ht="15.75" x14ac:dyDescent="0.25">
      <c r="A77" s="18" t="s">
        <v>115</v>
      </c>
      <c r="B77" s="18"/>
      <c r="C77" s="18"/>
      <c r="D77" s="18"/>
    </row>
    <row r="78" spans="1:4" ht="15.75" x14ac:dyDescent="0.25">
      <c r="A78" s="12" t="s">
        <v>0</v>
      </c>
      <c r="B78" s="13" t="s">
        <v>1</v>
      </c>
      <c r="C78" s="13" t="s">
        <v>2</v>
      </c>
      <c r="D78" s="14" t="s">
        <v>3</v>
      </c>
    </row>
    <row r="79" spans="1:4" x14ac:dyDescent="0.25">
      <c r="A79" s="4">
        <v>49</v>
      </c>
      <c r="B79" s="3" t="s">
        <v>86</v>
      </c>
      <c r="C79" s="3"/>
      <c r="D79" s="5" t="s">
        <v>87</v>
      </c>
    </row>
    <row r="80" spans="1:4" x14ac:dyDescent="0.25">
      <c r="A80" s="4">
        <v>50</v>
      </c>
      <c r="B80" s="3" t="s">
        <v>88</v>
      </c>
      <c r="C80" s="3"/>
      <c r="D80" s="5" t="s">
        <v>89</v>
      </c>
    </row>
    <row r="81" spans="1:4" x14ac:dyDescent="0.25">
      <c r="A81" s="4">
        <v>51</v>
      </c>
      <c r="B81" s="3" t="s">
        <v>88</v>
      </c>
      <c r="C81" s="3"/>
      <c r="D81" s="5" t="s">
        <v>90</v>
      </c>
    </row>
    <row r="82" spans="1:4" x14ac:dyDescent="0.25">
      <c r="A82" s="4">
        <v>52</v>
      </c>
      <c r="B82" s="3" t="s">
        <v>91</v>
      </c>
      <c r="C82" s="3"/>
      <c r="D82" s="5" t="s">
        <v>92</v>
      </c>
    </row>
    <row r="83" spans="1:4" x14ac:dyDescent="0.25">
      <c r="A83" s="4">
        <v>53</v>
      </c>
      <c r="B83" s="3" t="s">
        <v>93</v>
      </c>
      <c r="C83" s="3"/>
      <c r="D83" s="5" t="s">
        <v>94</v>
      </c>
    </row>
    <row r="84" spans="1:4" x14ac:dyDescent="0.25">
      <c r="A84" s="6">
        <v>54</v>
      </c>
      <c r="B84" s="7" t="s">
        <v>93</v>
      </c>
      <c r="C84" s="7"/>
      <c r="D84" s="8" t="s">
        <v>95</v>
      </c>
    </row>
    <row r="85" spans="1:4" ht="15.75" x14ac:dyDescent="0.25">
      <c r="A85" s="16" t="s">
        <v>109</v>
      </c>
      <c r="B85" s="17"/>
      <c r="C85" s="17"/>
      <c r="D85" s="17">
        <f>SUBTOTAL(103,Tabela7[Função principal])</f>
        <v>6</v>
      </c>
    </row>
    <row r="86" spans="1:4" ht="15.75" x14ac:dyDescent="0.25">
      <c r="A86" s="1"/>
    </row>
    <row r="87" spans="1:4" ht="21.75" thickBot="1" x14ac:dyDescent="0.3">
      <c r="A87" s="15" t="s">
        <v>96</v>
      </c>
      <c r="B87" s="15"/>
      <c r="C87" s="15"/>
      <c r="D87" s="15"/>
    </row>
    <row r="88" spans="1:4" ht="16.5" thickTop="1" x14ac:dyDescent="0.25">
      <c r="A88" s="19" t="s">
        <v>114</v>
      </c>
      <c r="B88" s="19"/>
      <c r="C88" s="19"/>
      <c r="D88" s="19"/>
    </row>
    <row r="89" spans="1:4" ht="15.75" x14ac:dyDescent="0.25">
      <c r="A89" s="12" t="s">
        <v>0</v>
      </c>
      <c r="B89" s="13" t="s">
        <v>1</v>
      </c>
      <c r="C89" s="13" t="s">
        <v>2</v>
      </c>
      <c r="D89" s="14" t="s">
        <v>3</v>
      </c>
    </row>
    <row r="90" spans="1:4" x14ac:dyDescent="0.25">
      <c r="A90" s="4">
        <v>55</v>
      </c>
      <c r="B90" s="3" t="s">
        <v>97</v>
      </c>
      <c r="C90" s="3"/>
      <c r="D90" s="5" t="s">
        <v>98</v>
      </c>
    </row>
    <row r="91" spans="1:4" x14ac:dyDescent="0.25">
      <c r="A91" s="4">
        <v>56</v>
      </c>
      <c r="B91" s="3" t="s">
        <v>99</v>
      </c>
      <c r="C91" s="3"/>
      <c r="D91" s="5" t="s">
        <v>100</v>
      </c>
    </row>
    <row r="92" spans="1:4" x14ac:dyDescent="0.25">
      <c r="A92" s="4">
        <v>57</v>
      </c>
      <c r="B92" s="3" t="s">
        <v>101</v>
      </c>
      <c r="C92" s="3"/>
      <c r="D92" s="5" t="s">
        <v>102</v>
      </c>
    </row>
    <row r="93" spans="1:4" ht="30" x14ac:dyDescent="0.25">
      <c r="A93" s="4">
        <v>58</v>
      </c>
      <c r="B93" s="3" t="s">
        <v>103</v>
      </c>
      <c r="C93" s="3"/>
      <c r="D93" s="5" t="s">
        <v>104</v>
      </c>
    </row>
    <row r="94" spans="1:4" x14ac:dyDescent="0.25">
      <c r="A94" s="4">
        <v>59</v>
      </c>
      <c r="B94" s="3" t="s">
        <v>105</v>
      </c>
      <c r="C94" s="3"/>
      <c r="D94" s="5" t="s">
        <v>106</v>
      </c>
    </row>
    <row r="95" spans="1:4" x14ac:dyDescent="0.25">
      <c r="A95" s="6">
        <v>60</v>
      </c>
      <c r="B95" s="7" t="s">
        <v>107</v>
      </c>
      <c r="C95" s="7"/>
      <c r="D95" s="8" t="s">
        <v>108</v>
      </c>
    </row>
    <row r="96" spans="1:4" ht="15.75" x14ac:dyDescent="0.25">
      <c r="A96" s="16" t="s">
        <v>109</v>
      </c>
      <c r="B96" s="17"/>
      <c r="C96" s="17"/>
      <c r="D96" s="17">
        <f>SUBTOTAL(103,Tabela8[Função principal])</f>
        <v>6</v>
      </c>
    </row>
    <row r="97" spans="1:1" x14ac:dyDescent="0.25">
      <c r="A97" s="2"/>
    </row>
  </sheetData>
  <mergeCells count="11">
    <mergeCell ref="A19:D19"/>
    <mergeCell ref="A55:D55"/>
    <mergeCell ref="A87:D87"/>
    <mergeCell ref="A17:D17"/>
    <mergeCell ref="A1:D1"/>
    <mergeCell ref="A88:D88"/>
    <mergeCell ref="A77:D77"/>
    <mergeCell ref="A66:D66"/>
    <mergeCell ref="A57:D57"/>
    <mergeCell ref="A43:D43"/>
    <mergeCell ref="A31:D31"/>
  </mergeCells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Crevelari</dc:creator>
  <cp:lastModifiedBy>Jessica Crevelari</cp:lastModifiedBy>
  <dcterms:created xsi:type="dcterms:W3CDTF">2026-10-23T19:29:42Z</dcterms:created>
  <dcterms:modified xsi:type="dcterms:W3CDTF">2026-10-23T19:59:46Z</dcterms:modified>
</cp:coreProperties>
</file>